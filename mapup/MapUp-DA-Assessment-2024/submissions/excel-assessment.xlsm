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user\Desktop\mapup\MapUp-DA-Assessment-2024\submissions\"/>
    </mc:Choice>
  </mc:AlternateContent>
  <bookViews>
    <workbookView xWindow="0" yWindow="495" windowWidth="29400" windowHeight="1630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 l="1"/>
  <c r="C25" i="20"/>
  <c r="C24" i="20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<sst xmlns="http://schemas.openxmlformats.org/spreadsheetml/2006/main" count="406" uniqueCount="183">
  <si>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</si>
  <si>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</si>
  <si>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</si>
  <si>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</si>
  <si>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</si>
  <si>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</si>
  <si>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</si>
  <si>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</si>
  <si>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</si>
  <si>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</si>
  <si>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</si>
  <si>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</si>
  <si>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</si>
  <si>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</si>
  <si>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</si>
  <si>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</si>
  <si>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</si>
  <si>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</si>
  <si>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</si>
  <si>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</si>
  <si>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</si>
  <si>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</si>
  <si>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</si>
  <si>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</si>
  <si>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</si>
  <si>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</si>
  <si>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</si>
  <si>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</si>
  <si>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</si>
  <si>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</si>
  <si>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</si>
  <si>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</si>
  <si>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</si>
  <si>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</si>
  <si>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</si>
  <si>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</si>
  <si>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</si>
  <si>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</si>
  <si>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</si>
  <si>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</si>
  <si>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</si>
  <si>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</si>
  <si>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</si>
  <si>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</si>
  <si>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</si>
  <si>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</si>
  <si>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</si>
  <si>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</si>
  <si>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</si>
  <si>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</si>
  <si>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</si>
  <si>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</si>
  <si>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</si>
  <si>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</si>
  <si>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</si>
  <si>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</si>
  <si>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</si>
  <si>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</si>
  <si>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</si>
  <si>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</si>
  <si>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</si>
  <si>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</si>
  <si>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</si>
  <si>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</si>
  <si>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</si>
  <si>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</si>
  <si>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</si>
  <si>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</si>
  <si>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</si>
  <si>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</si>
  <si>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</si>
  <si>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</si>
  <si>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</si>
  <si>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</si>
  <si>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</si>
  <si>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</si>
  <si>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</si>
  <si>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</si>
  <si>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</si>
  <si>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</si>
  <si>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</si>
  <si>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</si>
  <si>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</si>
  <si>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</si>
  <si>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</si>
  <si>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</si>
  <si>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</si>
  <si>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</si>
  <si>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</si>
  <si>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</si>
  <si>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</si>
  <si>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</si>
  <si>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</si>
  <si>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</si>
  <si>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</si>
  <si>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</si>
  <si>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</si>
  <si>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</si>
  <si>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</si>
  <si>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</si>
  <si>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</si>
  <si>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</si>
  <si>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</si>
  <si>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</si>
  <si>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</si>
  <si>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</si>
  <si>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</si>
  <si>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</si>
  <si>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</si>
  <si>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</si>
  <si>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</si>
  <si>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</si>
  <si>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</si>
  <si>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</si>
  <si>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</si>
  <si>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</si>
  <si>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</si>
  <si>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</si>
  <si>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</si>
  <si>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</si>
  <si>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</si>
  <si>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</si>
  <si>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</si>
  <si>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</si>
  <si>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</si>
  <si>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</si>
  <si>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</si>
  <si>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</si>
  <si>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</si>
  <si>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</si>
  <si>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</si>
  <si>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</si>
  <si>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</si>
  <si>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</si>
  <si>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</si>
  <si>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</si>
  <si>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</si>
  <si>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</si>
  <si>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</si>
  <si>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</si>
  <si>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</si>
  <si>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</si>
  <si>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</si>
  <si>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</si>
  <si>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</si>
  <si>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</si>
  <si>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</si>
  <si>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</si>
  <si>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</si>
  <si>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</si>
  <si>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</si>
  <si>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</si>
  <si>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</si>
  <si>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</si>
  <si>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</si>
  <si>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</si>
  <si>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</si>
  <si>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</si>
  <si>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</si>
  <si>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</si>
  <si>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</si>
  <si>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</si>
  <si>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</si>
  <si>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</si>
  <si>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</si>
  <si>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</si>
  <si>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</si>
  <si>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</si>
  <si>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</si>
  <si>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</si>
  <si>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</si>
  <si>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</si>
  <si>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</si>
  <si>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</si>
  <si>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</si>
  <si>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</si>
  <si>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</si>
  <si>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of H</t>
  </si>
  <si>
    <t>:-=SUMIF(H2:H40, "&gt;20")</t>
  </si>
  <si>
    <t>DATA tab</t>
  </si>
  <si>
    <t>used Text to Column of DATA tab function, selected delimiter and choose '-' as the delimiter</t>
  </si>
  <si>
    <t xml:space="preserve"> Using SUM with IFERROR</t>
  </si>
  <si>
    <t>The formula =SUM(IFERROR(Task_4!C12:C21, 20)) evaluates each value in the range Task_4!C12:C21, replacing any #N/A or other errors with 20. It then sums all the resulting values, including the substituted 20 for any errors, effectively calculating the total while handling errors.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</si>
</sst>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hh:mm:ss;@"/>
    <numFmt numFmtId="165" formatCode="yyyy\-mm\-dd;@"/>
    <numFmt numFmtId="166" formatCode="0.0"/>
    <numFmt numFmtId="167" formatCode="yyyy\-mm\-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4" fillId="0" borderId="0" xfId="0" applyFont="1" applyAlignment="1">
      <alignment wrapText="1"/>
    </xf>
    <xf numFmtId="166" fontId="7" fillId="2" borderId="0" xfId="0" applyNumberFormat="1" applyFont="1" applyFill="1"/>
    <xf numFmtId="166" fontId="3" fillId="0" borderId="0" xfId="0" applyNumberFormat="1" applyFont="1"/>
    <xf numFmtId="167" fontId="7" fillId="0" borderId="0" xfId="0" applyNumberFormat="1" applyFont="1"/>
    <xf numFmtId="167" fontId="3" fillId="0" borderId="0" xfId="0" applyNumberFormat="1" applyFont="1"/>
    <xf numFmtId="166" fontId="3" fillId="0" borderId="7" xfId="0" applyNumberFormat="1" applyFont="1" applyBorder="1"/>
    <xf numFmtId="0" fontId="18" fillId="0" borderId="0" xfId="0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8">
    <dxf>
      <font>
        <color rgb="FF00B050"/>
      </font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color rgb="FFFF0000"/>
      </font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color rgb="FFFF0000"/>
      </font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color rgb="FF00B050"/>
      </font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6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C1" zoomScaleNormal="100" workbookViewId="0">
      <pane ySplit="1" topLeftCell="A2" activePane="bottomLeft" state="frozen"/>
      <selection pane="bottomLeft" activeCell="AA11" sqref="AA1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7" width="12.83203125" style="1" bestFit="1" customWidth="1"/>
    <col min="8" max="8" width="14.33203125" style="1" customWidth="1"/>
    <col min="9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2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45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7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46">
        <v>2.7</v>
      </c>
      <c r="H2" s="46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46">
        <v>2.7</v>
      </c>
      <c r="H3" s="46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46">
        <v>3.6</v>
      </c>
      <c r="H4" s="46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46">
        <v>4.9000000000000004</v>
      </c>
      <c r="H5" s="46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46">
        <v>6.6</v>
      </c>
      <c r="H6" s="46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46">
        <v>7.1</v>
      </c>
      <c r="H7" s="46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46">
        <v>9.4</v>
      </c>
      <c r="H8" s="46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46">
        <v>11.6</v>
      </c>
      <c r="H9" s="46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46">
        <v>16.100000000000001</v>
      </c>
      <c r="H10" s="46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46">
        <v>18.399999999999999</v>
      </c>
      <c r="H11" s="46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6">
        <v>0</v>
      </c>
      <c r="H12" s="46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46">
        <v>21.9</v>
      </c>
      <c r="H13" s="46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46">
        <v>23.5</v>
      </c>
      <c r="H14" s="46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46">
        <v>26.8</v>
      </c>
      <c r="H15" s="46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46">
        <v>28</v>
      </c>
      <c r="H16" s="46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46">
        <v>28.5</v>
      </c>
      <c r="H17" s="46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46">
        <v>29.1</v>
      </c>
      <c r="H18" s="46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46">
        <v>30.7</v>
      </c>
      <c r="H19" s="46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46">
        <v>33.799999999999997</v>
      </c>
      <c r="H20" s="46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46">
        <v>34.700000000000003</v>
      </c>
      <c r="H21" s="46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46">
        <v>36.5</v>
      </c>
      <c r="H22" s="46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46">
        <v>38</v>
      </c>
      <c r="H23" s="46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46">
        <v>38.700000000000003</v>
      </c>
      <c r="H24" s="46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46">
        <v>40.1</v>
      </c>
      <c r="H25" s="46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6">
        <v>0</v>
      </c>
      <c r="H26" s="46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46">
        <v>41.3</v>
      </c>
      <c r="H27" s="46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46">
        <v>42.3</v>
      </c>
      <c r="H28" s="46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46">
        <v>43.3</v>
      </c>
      <c r="H29" s="46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6">
        <v>-1</v>
      </c>
      <c r="H30" s="46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46">
        <v>45</v>
      </c>
      <c r="H31" s="46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6">
        <v>-1</v>
      </c>
      <c r="H32" s="46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46">
        <v>41.5</v>
      </c>
      <c r="H33" s="46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46">
        <v>43.3</v>
      </c>
      <c r="H34" s="46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46">
        <v>44.5</v>
      </c>
      <c r="H35" s="46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46">
        <v>47.3</v>
      </c>
      <c r="H36" s="46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46">
        <v>48.3</v>
      </c>
      <c r="H37" s="46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46">
        <v>49.1</v>
      </c>
      <c r="H38" s="46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46">
        <v>50.6</v>
      </c>
      <c r="H39" s="46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46">
        <v>51.8</v>
      </c>
      <c r="H40" s="46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25">
      <c r="G41" s="1" t="s">
        <v>177</v>
      </c>
      <c r="H41" s="1">
        <f>SUMIF(H2:H40, "&gt;20")</f>
        <v>1473.0000000000002</v>
      </c>
    </row>
  </sheetData>
  <conditionalFormatting sqref="A1:A1048576">
    <cfRule type="duplicateValues" dxfId="5" priority="6"/>
  </conditionalFormatting>
  <conditionalFormatting sqref="B1:B1048576">
    <cfRule type="duplicateValues" dxfId="4" priority="5"/>
  </conditionalFormatting>
  <conditionalFormatting sqref="J1:L40">
    <cfRule type="cellIs" dxfId="3" priority="3" operator="equal">
      <formula>0</formula>
    </cfRule>
    <cfRule type="cellIs" dxfId="2" priority="4" operator="equal">
      <formula>-1</formula>
    </cfRule>
  </conditionalFormatting>
  <conditionalFormatting sqref="M1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F8" sqref="F8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4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11" zoomScaleNormal="100" workbookViewId="0">
      <selection activeCell="F31" sqref="F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163</v>
      </c>
    </row>
    <row r="2" spans="1:7" s="40" customFormat="1" ht="21" x14ac:dyDescent="0.35">
      <c r="B2" s="40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49">
        <f>IFERROR(INDEX(Dataset!G:G, MATCH($A6, Dataset!A:A, 0)), "")</f>
        <v>2.7</v>
      </c>
      <c r="C6" s="12">
        <f>IFERROR(INDEX(Dataset!N:N, MATCH($A6, Dataset!A:A, 0)), "")</f>
        <v>7.6</v>
      </c>
      <c r="D6" s="12">
        <f>IFERROR(INDEX(Dataset!R:R, MATCH($A6, Dataset!A:A, 0)), "")</f>
        <v>4.2</v>
      </c>
      <c r="E6" s="12">
        <f>IFERROR(INDEX(Dataset!T:T, MATCH($A6, Dataset!A:A, 0)), "")</f>
        <v>8.9</v>
      </c>
      <c r="F6" s="8">
        <f>IFERROR(INDEX(Dataset!V:V, MATCH($A6, Dataset!A:A, 0)), "")</f>
        <v>4.2</v>
      </c>
    </row>
    <row r="7" spans="1:7" ht="15" x14ac:dyDescent="0.25">
      <c r="A7" s="7" t="s">
        <v>4</v>
      </c>
      <c r="B7" s="49">
        <f>IFERROR(INDEX(Dataset!G:G, MATCH($A7, Dataset!A:A, 0)), "")</f>
        <v>2.7</v>
      </c>
      <c r="C7" s="12">
        <f>IFERROR(INDEX(Dataset!N:N, MATCH($A7, Dataset!A:A, 0)), "")</f>
        <v>7.6</v>
      </c>
      <c r="D7" s="12">
        <f>IFERROR(INDEX(Dataset!R:R, MATCH($A7, Dataset!A:A, 0)), "")</f>
        <v>4.2</v>
      </c>
      <c r="E7" s="12">
        <f>IFERROR(INDEX(Dataset!T:T, MATCH($A7, Dataset!A:A, 0)), "")</f>
        <v>8.9</v>
      </c>
      <c r="F7" s="8">
        <f>IFERROR(INDEX(Dataset!V:V, MATCH($A7, Dataset!A:A, 0)), "")</f>
        <v>4.2</v>
      </c>
    </row>
    <row r="8" spans="1:7" ht="15" x14ac:dyDescent="0.25">
      <c r="A8" s="7" t="s">
        <v>7</v>
      </c>
      <c r="B8" s="49">
        <f>IFERROR(INDEX(Dataset!G:G, MATCH($A8, Dataset!A:A, 0)), "")</f>
        <v>3.6</v>
      </c>
      <c r="C8" s="12">
        <f>IFERROR(INDEX(Dataset!N:N, MATCH($A8, Dataset!A:A, 0)), "")</f>
        <v>11.1</v>
      </c>
      <c r="D8" s="12">
        <f>IFERROR(INDEX(Dataset!R:R, MATCH($A8, Dataset!A:A, 0)), "")</f>
        <v>5.8</v>
      </c>
      <c r="E8" s="12">
        <f>IFERROR(INDEX(Dataset!T:T, MATCH($A8, Dataset!A:A, 0)), "")</f>
        <v>12.2</v>
      </c>
      <c r="F8" s="8">
        <f>IFERROR(INDEX(Dataset!V:V, MATCH($A8, Dataset!A:A, 0)), "")</f>
        <v>5.8</v>
      </c>
    </row>
    <row r="9" spans="1:7" ht="15" x14ac:dyDescent="0.25">
      <c r="A9" s="7" t="s">
        <v>8</v>
      </c>
      <c r="B9" s="49">
        <f>IFERROR(INDEX(Dataset!G:G, MATCH($A9, Dataset!A:A, 0)), "")</f>
        <v>4.9000000000000004</v>
      </c>
      <c r="C9" s="12">
        <f>IFERROR(INDEX(Dataset!N:N, MATCH($A9, Dataset!A:A, 0)), "")</f>
        <v>13.3</v>
      </c>
      <c r="D9" s="12">
        <f>IFERROR(INDEX(Dataset!R:R, MATCH($A9, Dataset!A:A, 0)), "")</f>
        <v>8.1</v>
      </c>
      <c r="E9" s="12">
        <f>IFERROR(INDEX(Dataset!T:T, MATCH($A9, Dataset!A:A, 0)), "")</f>
        <v>17</v>
      </c>
      <c r="F9" s="8">
        <f>IFERROR(INDEX(Dataset!V:V, MATCH($A9, Dataset!A:A, 0)), "")</f>
        <v>8.1</v>
      </c>
    </row>
    <row r="10" spans="1:7" ht="15" x14ac:dyDescent="0.25">
      <c r="A10" s="7" t="s">
        <v>11</v>
      </c>
      <c r="B10" s="49">
        <f>IFERROR(INDEX(Dataset!G:G, MATCH($A10, Dataset!A:A, 0)), "")</f>
        <v>9.4</v>
      </c>
      <c r="C10" s="12">
        <f>IFERROR(INDEX(Dataset!N:N, MATCH($A10, Dataset!A:A, 0)), "")</f>
        <v>28.3</v>
      </c>
      <c r="D10" s="12">
        <f>IFERROR(INDEX(Dataset!R:R, MATCH($A10, Dataset!A:A, 0)), "")</f>
        <v>16.100000000000001</v>
      </c>
      <c r="E10" s="12">
        <f>IFERROR(INDEX(Dataset!T:T, MATCH($A10, Dataset!A:A, 0)), "")</f>
        <v>32.799999999999997</v>
      </c>
      <c r="F10" s="8">
        <f>IFERROR(INDEX(Dataset!V:V, MATCH($A10, Dataset!A:A, 0)), "")</f>
        <v>16.100000000000001</v>
      </c>
    </row>
    <row r="11" spans="1:7" ht="15" x14ac:dyDescent="0.25">
      <c r="A11" s="7" t="s">
        <v>12</v>
      </c>
      <c r="B11" s="49">
        <f>IFERROR(INDEX(Dataset!G:G, MATCH($A11, Dataset!A:A, 0)), "")</f>
        <v>11.6</v>
      </c>
      <c r="C11" s="12">
        <f>IFERROR(INDEX(Dataset!N:N, MATCH($A11, Dataset!A:A, 0)), "")</f>
        <v>35.200000000000003</v>
      </c>
      <c r="D11" s="12">
        <f>IFERROR(INDEX(Dataset!R:R, MATCH($A11, Dataset!A:A, 0)), "")</f>
        <v>21.3</v>
      </c>
      <c r="E11" s="12">
        <f>IFERROR(INDEX(Dataset!T:T, MATCH($A11, Dataset!A:A, 0)), "")</f>
        <v>43</v>
      </c>
      <c r="F11" s="8">
        <f>IFERROR(INDEX(Dataset!V:V, MATCH($A11, Dataset!A:A, 0)), "")</f>
        <v>21.3</v>
      </c>
    </row>
    <row r="12" spans="1:7" ht="15" x14ac:dyDescent="0.25">
      <c r="A12" s="7" t="s">
        <v>14</v>
      </c>
      <c r="B12" s="49">
        <f>IFERROR(INDEX(Dataset!G:G, MATCH($A12, Dataset!A:A, 0)), "")</f>
        <v>18.399999999999999</v>
      </c>
      <c r="C12" s="12">
        <f>IFERROR(INDEX(Dataset!N:N, MATCH($A12, Dataset!A:A, 0)), "")</f>
        <v>55.6</v>
      </c>
      <c r="D12" s="12">
        <f>IFERROR(INDEX(Dataset!R:R, MATCH($A12, Dataset!A:A, 0)), "")</f>
        <v>33.799999999999997</v>
      </c>
      <c r="E12" s="12">
        <f>IFERROR(INDEX(Dataset!T:T, MATCH($A12, Dataset!A:A, 0)), "")</f>
        <v>67.900000000000006</v>
      </c>
      <c r="F12" s="8">
        <f>IFERROR(INDEX(Dataset!V:V, MATCH($A12, Dataset!A:A, 0)), "")</f>
        <v>33.799999999999997</v>
      </c>
    </row>
    <row r="13" spans="1:7" ht="15" x14ac:dyDescent="0.25">
      <c r="A13" s="7" t="s">
        <v>15</v>
      </c>
      <c r="B13" s="49">
        <f>IFERROR(INDEX(Dataset!G:G, MATCH($A13, Dataset!A:A, 0)), "")</f>
        <v>0</v>
      </c>
      <c r="C13" s="12">
        <f>IFERROR(INDEX(Dataset!N:N, MATCH($A13, Dataset!A:A, 0)), "")</f>
        <v>0</v>
      </c>
      <c r="D13" s="12">
        <f>IFERROR(INDEX(Dataset!R:R, MATCH($A13, Dataset!A:A, 0)), "")</f>
        <v>0</v>
      </c>
      <c r="E13" s="12">
        <f>IFERROR(INDEX(Dataset!T:T, MATCH($A13, Dataset!A:A, 0)), "")</f>
        <v>0</v>
      </c>
      <c r="F13" s="8">
        <f>IFERROR(INDEX(Dataset!V:V, MATCH($A13, Dataset!A:A, 0)), "")</f>
        <v>0</v>
      </c>
    </row>
    <row r="14" spans="1:7" ht="15" x14ac:dyDescent="0.25">
      <c r="A14" s="7" t="s">
        <v>16</v>
      </c>
      <c r="B14" s="49">
        <f>IFERROR(INDEX(Dataset!G:G, MATCH($A14, Dataset!A:A, 0)), "")</f>
        <v>21.9</v>
      </c>
      <c r="C14" s="12">
        <f>IFERROR(INDEX(Dataset!N:N, MATCH($A14, Dataset!A:A, 0)), "")</f>
        <v>61.5</v>
      </c>
      <c r="D14" s="12">
        <f>IFERROR(INDEX(Dataset!R:R, MATCH($A14, Dataset!A:A, 0)), "")</f>
        <v>40.1</v>
      </c>
      <c r="E14" s="12">
        <f>IFERROR(INDEX(Dataset!T:T, MATCH($A14, Dataset!A:A, 0)), "")</f>
        <v>76.599999999999994</v>
      </c>
      <c r="F14" s="8">
        <f>IFERROR(INDEX(Dataset!V:V, MATCH($A14, Dataset!A:A, 0)), "")</f>
        <v>40.1</v>
      </c>
    </row>
    <row r="15" spans="1:7" ht="15" x14ac:dyDescent="0.25">
      <c r="A15" s="7" t="s">
        <v>18</v>
      </c>
      <c r="B15" s="49">
        <f>IFERROR(INDEX(Dataset!G:G, MATCH($A15, Dataset!A:A, 0)), "")</f>
        <v>26.8</v>
      </c>
      <c r="C15" s="12">
        <f>IFERROR(INDEX(Dataset!N:N, MATCH($A15, Dataset!A:A, 0)), "")</f>
        <v>79.599999999999994</v>
      </c>
      <c r="D15" s="12">
        <f>IFERROR(INDEX(Dataset!R:R, MATCH($A15, Dataset!A:A, 0)), "")</f>
        <v>47.9</v>
      </c>
      <c r="E15" s="12">
        <f>IFERROR(INDEX(Dataset!T:T, MATCH($A15, Dataset!A:A, 0)), "")</f>
        <v>96.8</v>
      </c>
      <c r="F15" s="8">
        <f>IFERROR(INDEX(Dataset!V:V, MATCH($A15, Dataset!A:A, 0)), "")</f>
        <v>47.9</v>
      </c>
    </row>
    <row r="16" spans="1:7" ht="15" x14ac:dyDescent="0.25">
      <c r="A16" s="7" t="s">
        <v>20</v>
      </c>
      <c r="B16" s="49">
        <f>IFERROR(INDEX(Dataset!G:G, MATCH($A16, Dataset!A:A, 0)), "")</f>
        <v>28.5</v>
      </c>
      <c r="C16" s="12">
        <f>IFERROR(INDEX(Dataset!N:N, MATCH($A16, Dataset!A:A, 0)), "")</f>
        <v>85.4</v>
      </c>
      <c r="D16" s="12">
        <f>IFERROR(INDEX(Dataset!R:R, MATCH($A16, Dataset!A:A, 0)), "")</f>
        <v>52.3</v>
      </c>
      <c r="E16" s="12">
        <f>IFERROR(INDEX(Dataset!T:T, MATCH($A16, Dataset!A:A, 0)), "")</f>
        <v>106.1</v>
      </c>
      <c r="F16" s="8">
        <f>IFERROR(INDEX(Dataset!V:V, MATCH($A16, Dataset!A:A, 0)), "")</f>
        <v>52.3</v>
      </c>
    </row>
    <row r="17" spans="1:6" ht="15" x14ac:dyDescent="0.25">
      <c r="A17" s="7" t="s">
        <v>22</v>
      </c>
      <c r="B17" s="49">
        <f>IFERROR(INDEX(Dataset!G:G, MATCH($A17, Dataset!A:A, 0)), "")</f>
        <v>30.7</v>
      </c>
      <c r="C17" s="12">
        <f>IFERROR(INDEX(Dataset!N:N, MATCH($A17, Dataset!A:A, 0)), "")</f>
        <v>92.1</v>
      </c>
      <c r="D17" s="12">
        <f>IFERROR(INDEX(Dataset!R:R, MATCH($A17, Dataset!A:A, 0)), "")</f>
        <v>57</v>
      </c>
      <c r="E17" s="12">
        <f>IFERROR(INDEX(Dataset!T:T, MATCH($A17, Dataset!A:A, 0)), "")</f>
        <v>115.1</v>
      </c>
      <c r="F17" s="8">
        <f>IFERROR(INDEX(Dataset!V:V, MATCH($A17, Dataset!A:A, 0)), "")</f>
        <v>57</v>
      </c>
    </row>
    <row r="18" spans="1:6" ht="15" x14ac:dyDescent="0.25">
      <c r="A18" s="7" t="s">
        <v>23</v>
      </c>
      <c r="B18" s="49">
        <f>IFERROR(INDEX(Dataset!G:G, MATCH($A18, Dataset!A:A, 0)), "")</f>
        <v>33.799999999999997</v>
      </c>
      <c r="C18" s="12">
        <f>IFERROR(INDEX(Dataset!N:N, MATCH($A18, Dataset!A:A, 0)), "")</f>
        <v>101.3</v>
      </c>
      <c r="D18" s="12">
        <f>IFERROR(INDEX(Dataset!R:R, MATCH($A18, Dataset!A:A, 0)), "")</f>
        <v>61.4</v>
      </c>
      <c r="E18" s="12">
        <f>IFERROR(INDEX(Dataset!T:T, MATCH($A18, Dataset!A:A, 0)), "")</f>
        <v>124.4</v>
      </c>
      <c r="F18" s="8">
        <f>IFERROR(INDEX(Dataset!V:V, MATCH($A18, Dataset!A:A, 0)), "")</f>
        <v>61.4</v>
      </c>
    </row>
    <row r="19" spans="1:6" ht="15" x14ac:dyDescent="0.25">
      <c r="A19" s="7" t="s">
        <v>24</v>
      </c>
      <c r="B19" s="49">
        <f>IFERROR(INDEX(Dataset!G:G, MATCH($A19, Dataset!A:A, 0)), "")</f>
        <v>34.700000000000003</v>
      </c>
      <c r="C19" s="12">
        <f>IFERROR(INDEX(Dataset!N:N, MATCH($A19, Dataset!A:A, 0)), "")</f>
        <v>106.1</v>
      </c>
      <c r="D19" s="12">
        <f>IFERROR(INDEX(Dataset!R:R, MATCH($A19, Dataset!A:A, 0)), "")</f>
        <v>63.6</v>
      </c>
      <c r="E19" s="12">
        <f>IFERROR(INDEX(Dataset!T:T, MATCH($A19, Dataset!A:A, 0)), "")</f>
        <v>128.6</v>
      </c>
      <c r="F19" s="8">
        <f>IFERROR(INDEX(Dataset!V:V, MATCH($A19, Dataset!A:A, 0)), "")</f>
        <v>63.6</v>
      </c>
    </row>
    <row r="20" spans="1:6" ht="15" x14ac:dyDescent="0.25">
      <c r="A20" s="7" t="s">
        <v>28</v>
      </c>
      <c r="B20" s="49">
        <f>IFERROR(INDEX(Dataset!G:G, MATCH($A20, Dataset!A:A, 0)), "")</f>
        <v>0</v>
      </c>
      <c r="C20" s="12">
        <f>IFERROR(INDEX(Dataset!N:N, MATCH($A20, Dataset!A:A, 0)), "")</f>
        <v>0</v>
      </c>
      <c r="D20" s="12">
        <f>IFERROR(INDEX(Dataset!R:R, MATCH($A20, Dataset!A:A, 0)), "")</f>
        <v>0</v>
      </c>
      <c r="E20" s="12">
        <f>IFERROR(INDEX(Dataset!T:T, MATCH($A20, Dataset!A:A, 0)), "")</f>
        <v>0</v>
      </c>
      <c r="F20" s="8">
        <f>IFERROR(INDEX(Dataset!V:V, MATCH($A20, Dataset!A:A, 0)), "")</f>
        <v>0</v>
      </c>
    </row>
    <row r="21" spans="1:6" ht="15" x14ac:dyDescent="0.25">
      <c r="A21" s="7" t="s">
        <v>57</v>
      </c>
      <c r="B21" s="49">
        <f>IFERROR(INDEX(Dataset!G:G, MATCH($A21, Dataset!A:A, 0)), "")</f>
        <v>41.3</v>
      </c>
      <c r="C21" s="12">
        <f>IFERROR(INDEX(Dataset!N:N, MATCH($A21, Dataset!A:A, 0)), "")</f>
        <v>124.4</v>
      </c>
      <c r="D21" s="12">
        <f>IFERROR(INDEX(Dataset!R:R, MATCH($A21, Dataset!A:A, 0)), "")</f>
        <v>75</v>
      </c>
      <c r="E21" s="12">
        <f>IFERROR(INDEX(Dataset!T:T, MATCH($A21, Dataset!A:A, 0)), "")</f>
        <v>151.5</v>
      </c>
      <c r="F21" s="8">
        <f>IFERROR(INDEX(Dataset!V:V, MATCH($A21, Dataset!A:A, 0)), "")</f>
        <v>75</v>
      </c>
    </row>
    <row r="22" spans="1:6" ht="15" x14ac:dyDescent="0.25">
      <c r="A22" s="7" t="s">
        <v>58</v>
      </c>
      <c r="B22" s="49">
        <f>IFERROR(INDEX(Dataset!G:G, MATCH($A22, Dataset!A:A, 0)), "")</f>
        <v>-1</v>
      </c>
      <c r="C22" s="12">
        <f>IFERROR(INDEX(Dataset!N:N, MATCH($A22, Dataset!A:A, 0)), "")</f>
        <v>-1</v>
      </c>
      <c r="D22" s="12">
        <f>IFERROR(INDEX(Dataset!R:R, MATCH($A22, Dataset!A:A, 0)), "")</f>
        <v>-1</v>
      </c>
      <c r="E22" s="12">
        <f>IFERROR(INDEX(Dataset!T:T, MATCH($A22, Dataset!A:A, 0)), "")</f>
        <v>-1</v>
      </c>
      <c r="F22" s="8">
        <f>IFERROR(INDEX(Dataset!V:V, MATCH($A22, Dataset!A:A, 0)), "")</f>
        <v>-1</v>
      </c>
    </row>
    <row r="23" spans="1:6" ht="15" x14ac:dyDescent="0.25">
      <c r="A23" s="7" t="s">
        <v>31</v>
      </c>
      <c r="B23" s="49">
        <f>IFERROR(INDEX(Dataset!G:G, MATCH($A23, Dataset!A:A, 0)), "")</f>
        <v>45</v>
      </c>
      <c r="C23" s="12">
        <f>IFERROR(INDEX(Dataset!N:N, MATCH($A23, Dataset!A:A, 0)), "")</f>
        <v>133.4</v>
      </c>
      <c r="D23" s="12">
        <f>IFERROR(INDEX(Dataset!R:R, MATCH($A23, Dataset!A:A, 0)), "")</f>
        <v>79.400000000000006</v>
      </c>
      <c r="E23" s="12">
        <f>IFERROR(INDEX(Dataset!T:T, MATCH($A23, Dataset!A:A, 0)), "")</f>
        <v>160.9</v>
      </c>
      <c r="F23" s="8">
        <f>IFERROR(INDEX(Dataset!V:V, MATCH($A23, Dataset!A:A, 0)), "")</f>
        <v>79.400000000000006</v>
      </c>
    </row>
    <row r="24" spans="1:6" ht="15" x14ac:dyDescent="0.25">
      <c r="A24" s="7" t="s">
        <v>32</v>
      </c>
      <c r="B24" s="49">
        <f>IFERROR(INDEX(Dataset!G:G, MATCH($A24, Dataset!A:A, 0)), "")</f>
        <v>-1</v>
      </c>
      <c r="C24" s="12">
        <f>IFERROR(INDEX(Dataset!N:N, MATCH($A24, Dataset!A:A, 0)), "")</f>
        <v>-1</v>
      </c>
      <c r="D24" s="12">
        <f>IFERROR(INDEX(Dataset!R:R, MATCH($A24, Dataset!A:A, 0)), "")</f>
        <v>-1</v>
      </c>
      <c r="E24" s="12">
        <f>IFERROR(INDEX(Dataset!T:T, MATCH($A24, Dataset!A:A, 0)), "")</f>
        <v>-1</v>
      </c>
      <c r="F24" s="8">
        <f>IFERROR(INDEX(Dataset!V:V, MATCH($A24, Dataset!A:A, 0)), "")</f>
        <v>-1</v>
      </c>
    </row>
    <row r="25" spans="1:6" ht="15" x14ac:dyDescent="0.25">
      <c r="A25" s="7" t="s">
        <v>34</v>
      </c>
      <c r="B25" s="49">
        <f>IFERROR(INDEX(Dataset!G:G, MATCH($A25, Dataset!A:A, 0)), "")</f>
        <v>43.3</v>
      </c>
      <c r="C25" s="12">
        <f>IFERROR(INDEX(Dataset!N:N, MATCH($A25, Dataset!A:A, 0)), "")</f>
        <v>128.6</v>
      </c>
      <c r="D25" s="12">
        <f>IFERROR(INDEX(Dataset!R:R, MATCH($A25, Dataset!A:A, 0)), "")</f>
        <v>79.400000000000006</v>
      </c>
      <c r="E25" s="12">
        <f>IFERROR(INDEX(Dataset!T:T, MATCH($A25, Dataset!A:A, 0)), "")</f>
        <v>160.9</v>
      </c>
      <c r="F25" s="8">
        <f>IFERROR(INDEX(Dataset!V:V, MATCH($A25, Dataset!A:A, 0)), "")</f>
        <v>79.400000000000006</v>
      </c>
    </row>
    <row r="26" spans="1:6" ht="15" x14ac:dyDescent="0.25">
      <c r="A26" s="7" t="s">
        <v>37</v>
      </c>
      <c r="B26" s="49">
        <f>IFERROR(INDEX(Dataset!G:G, MATCH($A26, Dataset!A:A, 0)), "")</f>
        <v>49.1</v>
      </c>
      <c r="C26" s="12">
        <f>IFERROR(INDEX(Dataset!N:N, MATCH($A26, Dataset!A:A, 0)), "")</f>
        <v>146.80000000000001</v>
      </c>
      <c r="D26" s="12">
        <f>IFERROR(INDEX(Dataset!R:R, MATCH($A26, Dataset!A:A, 0)), "")</f>
        <v>90.9</v>
      </c>
      <c r="E26" s="12">
        <f>IFERROR(INDEX(Dataset!T:T, MATCH($A26, Dataset!A:A, 0)), "")</f>
        <v>183.5</v>
      </c>
      <c r="F26" s="8">
        <f>IFERROR(INDEX(Dataset!V:V, MATCH($A26, Dataset!A:A, 0)), "")</f>
        <v>90.9</v>
      </c>
    </row>
    <row r="27" spans="1:6" ht="15" x14ac:dyDescent="0.25">
      <c r="A27" s="7" t="s">
        <v>39</v>
      </c>
      <c r="B27" s="49">
        <f>IFERROR(INDEX(Dataset!G:G, MATCH($A27, Dataset!A:A, 0)), "")</f>
        <v>51.8</v>
      </c>
      <c r="C27" s="12">
        <f>IFERROR(INDEX(Dataset!N:N, MATCH($A27, Dataset!A:A, 0)), "")</f>
        <v>156.4</v>
      </c>
      <c r="D27" s="12">
        <f>IFERROR(INDEX(Dataset!R:R, MATCH($A27, Dataset!A:A, 0)), "")</f>
        <v>93.1</v>
      </c>
      <c r="E27" s="12">
        <f>IFERROR(INDEX(Dataset!T:T, MATCH($A27, Dataset!A:A, 0)), "")</f>
        <v>188.1</v>
      </c>
      <c r="F27" s="8">
        <f>IFERROR(INDEX(Dataset!V:V, MATCH($A27, Dataset!A:A, 0)), "")</f>
        <v>93.1</v>
      </c>
    </row>
    <row r="28" spans="1:6" ht="15" x14ac:dyDescent="0.25">
      <c r="A28" s="19" t="s">
        <v>82</v>
      </c>
      <c r="B28" s="31">
        <f>MIN(Dataset!G:G)</f>
        <v>-1</v>
      </c>
      <c r="C28" s="31">
        <f>MIN(Dataset!N:N)</f>
        <v>-1</v>
      </c>
      <c r="D28" s="31">
        <f>MIN(Dataset!R:R)</f>
        <v>-1</v>
      </c>
      <c r="E28" s="31">
        <f>MIN(Dataset!T:T)</f>
        <v>-1</v>
      </c>
      <c r="F28" s="31">
        <f>MIN(Dataset!V:V)</f>
        <v>-1</v>
      </c>
    </row>
    <row r="29" spans="1:6" ht="15" x14ac:dyDescent="0.25">
      <c r="A29" s="19" t="s">
        <v>83</v>
      </c>
      <c r="B29" s="31">
        <f>MAX(Dataset!G:G)</f>
        <v>51.8</v>
      </c>
      <c r="C29" s="31">
        <f>MAX(Dataset!N:N)</f>
        <v>156.4</v>
      </c>
      <c r="D29" s="31">
        <f>MAX(Dataset!R:R)</f>
        <v>93.1</v>
      </c>
      <c r="E29" s="31">
        <f>MAX(Dataset!T:T)</f>
        <v>188.1</v>
      </c>
      <c r="F29" s="31">
        <f>MAX(Dataset!V:V)</f>
        <v>93.1</v>
      </c>
    </row>
    <row r="30" spans="1:6" ht="15" x14ac:dyDescent="0.25">
      <c r="A30" s="19" t="s">
        <v>84</v>
      </c>
      <c r="B30" s="31">
        <f>AVERAGE(Dataset!G:G)</f>
        <v>26.658974358974355</v>
      </c>
      <c r="C30" s="31">
        <f>AVERAGE(Dataset!N:N)</f>
        <v>79.930769230769243</v>
      </c>
      <c r="D30" s="31">
        <f>AVERAGE(Dataset!R:R)</f>
        <v>48.366666666666674</v>
      </c>
      <c r="E30" s="31">
        <f>AVERAGE(Dataset!T:T)</f>
        <v>97.789743589743594</v>
      </c>
      <c r="F30" s="31">
        <f>AVERAGE(Dataset!V:V)</f>
        <v>48.366666666666674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C8" sqref="C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 t="s">
        <v>179</v>
      </c>
    </row>
    <row r="6" spans="1:10" ht="18.75" x14ac:dyDescent="0.3">
      <c r="A6" s="42" t="s">
        <v>152</v>
      </c>
      <c r="B6" s="50" t="s">
        <v>180</v>
      </c>
    </row>
    <row r="7" spans="1:10" ht="18.75" x14ac:dyDescent="0.3">
      <c r="A7" s="42"/>
      <c r="B7" s="39"/>
    </row>
    <row r="9" spans="1:10" ht="23.25" x14ac:dyDescent="0.35">
      <c r="A9" s="18" t="s">
        <v>164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topLeftCell="A2" zoomScaleNormal="100" workbookViewId="0">
      <selection activeCell="G12" sqref="G1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166</v>
      </c>
    </row>
    <row r="2" spans="1:3" ht="18.75" x14ac:dyDescent="0.3">
      <c r="B2" s="39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 t="s">
        <v>181</v>
      </c>
    </row>
    <row r="7" spans="1:3" ht="15" x14ac:dyDescent="0.25">
      <c r="A7" s="3" t="s">
        <v>152</v>
      </c>
      <c r="B7" s="1" t="s">
        <v>182</v>
      </c>
    </row>
    <row r="10" spans="1:3" ht="23.25" x14ac:dyDescent="0.35">
      <c r="A10" s="18" t="s">
        <v>161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153</v>
      </c>
      <c r="C17" s="17">
        <v>150</v>
      </c>
    </row>
    <row r="18" spans="1:3" ht="15" x14ac:dyDescent="0.25">
      <c r="A18" s="32">
        <v>44933</v>
      </c>
      <c r="B18" s="17" t="s">
        <v>154</v>
      </c>
      <c r="C18" s="17">
        <v>80</v>
      </c>
    </row>
    <row r="19" spans="1:3" ht="15" x14ac:dyDescent="0.25">
      <c r="A19" s="32">
        <v>44934</v>
      </c>
      <c r="B19" s="17" t="s">
        <v>155</v>
      </c>
      <c r="C19" s="17" t="e">
        <v>#N/A</v>
      </c>
    </row>
    <row r="20" spans="1:3" ht="15" x14ac:dyDescent="0.25">
      <c r="A20" s="32">
        <v>44935</v>
      </c>
      <c r="B20" s="17" t="s">
        <v>156</v>
      </c>
      <c r="C20" s="17">
        <v>30</v>
      </c>
    </row>
    <row r="21" spans="1:3" ht="15" x14ac:dyDescent="0.25">
      <c r="A21" s="32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25">
        <f t="array" ref="C22">SUM(IFERROR(Task_4!C12:C21,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22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150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152</v>
      </c>
      <c r="B5" s="1"/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3" t="str">
        <f>IFERROR(INDEX(A:N, MATCH(A23,A:N, 0)), IFERROR(INDEX(A:N, MATCH(A2,M:N, 0)), "Not Found"))</f>
        <v>Not Found</v>
      </c>
    </row>
    <row r="24" spans="1:14" ht="15" x14ac:dyDescent="0.25">
      <c r="A24" s="7">
        <v>10100</v>
      </c>
      <c r="B24" s="12">
        <v>10104</v>
      </c>
      <c r="C24" s="43">
        <f t="shared" ref="C24:C25" ca="1" si="0">IFERROR(VLOOKUP(C24,A:J, 1, FALSE), IFERROR(VLOOKUP(C24,M:N, 2, FALSE), "Not Found"))</f>
        <v>0</v>
      </c>
    </row>
    <row r="25" spans="1:14" ht="15" x14ac:dyDescent="0.25">
      <c r="A25" s="7">
        <v>10108</v>
      </c>
      <c r="B25" s="12">
        <v>10102</v>
      </c>
      <c r="C25" s="43">
        <f t="shared" ca="1" si="0"/>
        <v>0</v>
      </c>
    </row>
    <row r="26" spans="1:14" ht="15" x14ac:dyDescent="0.25">
      <c r="A26" s="7">
        <v>10100</v>
      </c>
      <c r="B26" s="12">
        <v>10106</v>
      </c>
      <c r="C26" s="43">
        <f t="shared" ref="C26:C35" si="1">IFERROR(VLOOKUP(A26,A:J, 1, FALSE), IFERROR(VLOOKUP(A26,M:N, 2, FALSE), "Not Found"))</f>
        <v>10100</v>
      </c>
    </row>
    <row r="27" spans="1:14" ht="15" x14ac:dyDescent="0.25">
      <c r="A27" s="7">
        <v>10108</v>
      </c>
      <c r="B27" s="12">
        <v>10110</v>
      </c>
      <c r="C27" s="43">
        <f t="shared" si="1"/>
        <v>10108</v>
      </c>
    </row>
    <row r="28" spans="1:14" ht="15" x14ac:dyDescent="0.25">
      <c r="A28" s="7">
        <v>10102</v>
      </c>
      <c r="B28" s="12">
        <v>10104</v>
      </c>
      <c r="C28" s="43">
        <f t="shared" si="1"/>
        <v>10102</v>
      </c>
    </row>
    <row r="29" spans="1:14" ht="15" x14ac:dyDescent="0.25">
      <c r="A29" s="7">
        <v>10106</v>
      </c>
      <c r="B29" s="12">
        <v>10108</v>
      </c>
      <c r="C29" s="43">
        <f t="shared" si="1"/>
        <v>10106</v>
      </c>
    </row>
    <row r="30" spans="1:14" ht="15" x14ac:dyDescent="0.25">
      <c r="A30" s="7">
        <v>10102</v>
      </c>
      <c r="B30" s="12">
        <v>10106</v>
      </c>
      <c r="C30" s="43">
        <f t="shared" si="1"/>
        <v>10102</v>
      </c>
    </row>
    <row r="31" spans="1:14" ht="15" x14ac:dyDescent="0.25">
      <c r="A31" s="7">
        <v>10110</v>
      </c>
      <c r="B31" s="12">
        <v>10114</v>
      </c>
      <c r="C31" s="43">
        <f t="shared" si="1"/>
        <v>10110</v>
      </c>
    </row>
    <row r="32" spans="1:14" ht="15" x14ac:dyDescent="0.25">
      <c r="A32" s="7">
        <v>10104</v>
      </c>
      <c r="B32" s="12">
        <v>10106</v>
      </c>
      <c r="C32" s="43">
        <f t="shared" si="1"/>
        <v>10104</v>
      </c>
    </row>
    <row r="33" spans="1:3" ht="15" x14ac:dyDescent="0.25">
      <c r="A33" s="7">
        <v>10110</v>
      </c>
      <c r="B33" s="12">
        <v>10112</v>
      </c>
      <c r="C33" s="43">
        <f t="shared" si="1"/>
        <v>10110</v>
      </c>
    </row>
    <row r="34" spans="1:3" ht="15" x14ac:dyDescent="0.25">
      <c r="A34" s="7">
        <v>10100</v>
      </c>
      <c r="B34" s="12">
        <v>10114</v>
      </c>
      <c r="C34" s="43">
        <f t="shared" si="1"/>
        <v>10100</v>
      </c>
    </row>
    <row r="35" spans="1:3" ht="15" x14ac:dyDescent="0.25">
      <c r="A35" s="9">
        <v>10112</v>
      </c>
      <c r="B35" s="13">
        <v>10116</v>
      </c>
      <c r="C35" s="43">
        <f t="shared" si="1"/>
        <v>10112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user</cp:lastModifiedBy>
  <dcterms:created xsi:type="dcterms:W3CDTF">2015-02-10T17:33:11Z</dcterms:created>
  <dcterms:modified xsi:type="dcterms:W3CDTF">2024-10-22T16:15:39Z</dcterms:modified>
</cp:coreProperties>
</file>